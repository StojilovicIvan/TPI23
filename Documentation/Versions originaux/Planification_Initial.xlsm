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TPI\TPI\Documentation\Versions originaux\"/>
    </mc:Choice>
  </mc:AlternateContent>
  <xr:revisionPtr revIDLastSave="0" documentId="13_ncr:1_{A13140AF-B316-4261-B9F5-B8F7DECDB5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fication initiale" sheetId="1" r:id="rId1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1" l="1"/>
  <c r="G27" i="1"/>
  <c r="G20" i="1"/>
  <c r="G21" i="1"/>
  <c r="G22" i="1"/>
  <c r="G23" i="1"/>
  <c r="G24" i="1"/>
  <c r="G25" i="1"/>
  <c r="G19" i="1"/>
  <c r="G14" i="1"/>
  <c r="G33" i="1"/>
  <c r="G34" i="1"/>
  <c r="G15" i="1"/>
  <c r="G41" i="1"/>
  <c r="G40" i="1"/>
  <c r="F42" i="1"/>
  <c r="E42" i="1"/>
  <c r="F28" i="1"/>
  <c r="E28" i="1"/>
  <c r="E19" i="1"/>
  <c r="F19" i="1"/>
  <c r="E13" i="1"/>
  <c r="F13" i="1"/>
  <c r="G18" i="1"/>
  <c r="G17" i="1"/>
  <c r="G46" i="1"/>
  <c r="G43" i="1"/>
  <c r="G44" i="1"/>
  <c r="G45" i="1"/>
  <c r="G42" i="1"/>
  <c r="G35" i="1"/>
  <c r="G38" i="1"/>
  <c r="G36" i="1"/>
  <c r="G37" i="1"/>
  <c r="G29" i="1"/>
  <c r="G30" i="1"/>
  <c r="G31" i="1"/>
  <c r="G32" i="1"/>
  <c r="G28" i="1"/>
  <c r="G39" i="1"/>
  <c r="G16" i="1"/>
  <c r="G13" i="1"/>
  <c r="T5" i="1"/>
</calcChain>
</file>

<file path=xl/sharedStrings.xml><?xml version="1.0" encoding="utf-8"?>
<sst xmlns="http://schemas.openxmlformats.org/spreadsheetml/2006/main" count="193" uniqueCount="103">
  <si>
    <t>Planification initiale</t>
  </si>
  <si>
    <t>TITRE DU PROJET</t>
  </si>
  <si>
    <t>NOM DE L'ENTREPRISE</t>
  </si>
  <si>
    <t>CPNV</t>
  </si>
  <si>
    <t>CHEF DE PROJET</t>
  </si>
  <si>
    <t>DATE</t>
  </si>
  <si>
    <t>NUMÉRO</t>
  </si>
  <si>
    <t>TITRE DE LA TÂCHE</t>
  </si>
  <si>
    <t>PROPRIÉTAIRE 
DE LA TÂCHE</t>
  </si>
  <si>
    <t>DATE DE DÉBUT</t>
  </si>
  <si>
    <t>DATE LIMITE</t>
  </si>
  <si>
    <t>DURÉE</t>
  </si>
  <si>
    <t>TÂCHE TERMINÉE (EN %)</t>
  </si>
  <si>
    <t>TPI</t>
  </si>
  <si>
    <t>SEMAINE 1</t>
  </si>
  <si>
    <t>SEMAINE 2</t>
  </si>
  <si>
    <t>SEMAINE 3</t>
  </si>
  <si>
    <t>SEMAINE 4</t>
  </si>
  <si>
    <t>SEMAINE 5</t>
  </si>
  <si>
    <t>L</t>
  </si>
  <si>
    <t>M</t>
  </si>
  <si>
    <t>J</t>
  </si>
  <si>
    <t>V</t>
  </si>
  <si>
    <t>Introduction</t>
  </si>
  <si>
    <t>Objectifs</t>
  </si>
  <si>
    <t>Page d'accueil</t>
  </si>
  <si>
    <t>Ivan Stojilovic</t>
  </si>
  <si>
    <t>Backend</t>
  </si>
  <si>
    <t>Frontend</t>
  </si>
  <si>
    <t>Page des produits</t>
  </si>
  <si>
    <t>Afficher les produits</t>
  </si>
  <si>
    <t>2.2</t>
  </si>
  <si>
    <t>2.3</t>
  </si>
  <si>
    <t>2.4</t>
  </si>
  <si>
    <t>2.5</t>
  </si>
  <si>
    <t>Affichage des produits</t>
  </si>
  <si>
    <t>2.6</t>
  </si>
  <si>
    <t>Formulaire de connexion/inscription</t>
  </si>
  <si>
    <t>Panier</t>
  </si>
  <si>
    <t>Pascal Benzonana</t>
  </si>
  <si>
    <t>Site de e-commerce de vente de biscuits</t>
  </si>
  <si>
    <t>Espace client</t>
  </si>
  <si>
    <t>Connexion à la base de données</t>
  </si>
  <si>
    <t>Afficher les détails</t>
  </si>
  <si>
    <t>3.2</t>
  </si>
  <si>
    <t>3.3</t>
  </si>
  <si>
    <t>3.4</t>
  </si>
  <si>
    <t>3.5</t>
  </si>
  <si>
    <t>3.6</t>
  </si>
  <si>
    <t>Connexion/inscription</t>
  </si>
  <si>
    <t>2.7</t>
  </si>
  <si>
    <t>Page administrateur</t>
  </si>
  <si>
    <t>Ajout de produit</t>
  </si>
  <si>
    <t>Suppresion de produit</t>
  </si>
  <si>
    <t>Modification de produit</t>
  </si>
  <si>
    <t>3.7</t>
  </si>
  <si>
    <t>4</t>
  </si>
  <si>
    <t>Base de données</t>
  </si>
  <si>
    <t>MCD</t>
  </si>
  <si>
    <t>MLD</t>
  </si>
  <si>
    <t>Modélisation</t>
  </si>
  <si>
    <t>Requêtes SQL</t>
  </si>
  <si>
    <t>1.4</t>
  </si>
  <si>
    <t>Rapport de projet</t>
  </si>
  <si>
    <t>Gestion du stockage</t>
  </si>
  <si>
    <t>Ajout et achat de produit au panier</t>
  </si>
  <si>
    <t>Désactivation de produit</t>
  </si>
  <si>
    <t>5h00</t>
  </si>
  <si>
    <t>1h00</t>
  </si>
  <si>
    <t>2h00</t>
  </si>
  <si>
    <t>3h00</t>
  </si>
  <si>
    <t>1h30</t>
  </si>
  <si>
    <t>3.8</t>
  </si>
  <si>
    <t>3.9</t>
  </si>
  <si>
    <t>3.10</t>
  </si>
  <si>
    <t>4.1</t>
  </si>
  <si>
    <t>4.2</t>
  </si>
  <si>
    <t>4.3</t>
  </si>
  <si>
    <t>4.4</t>
  </si>
  <si>
    <t>3.11</t>
  </si>
  <si>
    <t>1.2</t>
  </si>
  <si>
    <t>1.3</t>
  </si>
  <si>
    <t>1.5</t>
  </si>
  <si>
    <t>Maquettes</t>
  </si>
  <si>
    <t>Informations client</t>
  </si>
  <si>
    <t>Informations commandes</t>
  </si>
  <si>
    <t>3.12</t>
  </si>
  <si>
    <t>3.13</t>
  </si>
  <si>
    <t>2.8</t>
  </si>
  <si>
    <t>Tests frontend</t>
  </si>
  <si>
    <t>Tests backend</t>
  </si>
  <si>
    <t>5h25</t>
  </si>
  <si>
    <t>2h25</t>
  </si>
  <si>
    <t>1h25</t>
  </si>
  <si>
    <t>SPRINT N°1</t>
  </si>
  <si>
    <t>2 mai 2023 - 5 mai 2023</t>
  </si>
  <si>
    <t>SPRINT N°2</t>
  </si>
  <si>
    <t>08.05.2023 - 19 mai 2023</t>
  </si>
  <si>
    <t>SPRINT N°3</t>
  </si>
  <si>
    <t>22 mai 2023 - 2 juin 2023</t>
  </si>
  <si>
    <t>SPRINT REVIEWS</t>
  </si>
  <si>
    <t>Les vendredi : dés 8 heures</t>
  </si>
  <si>
    <t>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</si>
</sst>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&quot; &quot;mmmm&quot; &quot;yyyy"/>
    <numFmt numFmtId="165" formatCode="dd&quot;/&quot;mm&quot;/&quot;yy"/>
    <numFmt numFmtId="166" formatCode="&quot;$&quot;#,##0.00"/>
  </numFmts>
  <fonts count="29" x14ac:knownFonts="1">
    <font>
      <sz val="10"/>
      <color rgb="FF000000"/>
      <name val="Arial"/>
    </font>
    <font>
      <sz val="11"/>
      <name val="Poppins"/>
    </font>
    <font>
      <b/>
      <sz val="30"/>
      <color rgb="FF0B5394"/>
      <name val="Poppins"/>
    </font>
    <font>
      <b/>
      <sz val="11"/>
      <color rgb="FF0B5394"/>
      <name val="Poppins"/>
    </font>
    <font>
      <sz val="10"/>
      <name val="Poppins"/>
    </font>
    <font>
      <sz val="11"/>
      <color rgb="FF000000"/>
      <name val="Poppins"/>
    </font>
    <font>
      <b/>
      <sz val="30"/>
      <color rgb="FF0B5394"/>
      <name val="Roboto"/>
    </font>
    <font>
      <sz val="10"/>
      <name val="Arial"/>
      <family val="2"/>
    </font>
    <font>
      <b/>
      <sz val="12"/>
      <color rgb="FF0B5394"/>
      <name val="Roboto"/>
    </font>
    <font>
      <sz val="12"/>
      <color rgb="FF0B5394"/>
      <name val="Roboto"/>
    </font>
    <font>
      <b/>
      <sz val="11"/>
      <color rgb="FF434343"/>
      <name val="Poppins"/>
    </font>
    <font>
      <sz val="11"/>
      <color rgb="FF434343"/>
      <name val="Poppins"/>
    </font>
    <font>
      <sz val="11"/>
      <color rgb="FF000000"/>
      <name val="Century Gothic"/>
      <family val="2"/>
    </font>
    <font>
      <sz val="11"/>
      <name val="Century Gothic"/>
      <family val="2"/>
    </font>
    <font>
      <b/>
      <sz val="10"/>
      <color rgb="FF666666"/>
      <name val="Roboto"/>
    </font>
    <font>
      <sz val="10"/>
      <color rgb="FF999999"/>
      <name val="Roboto"/>
    </font>
    <font>
      <sz val="11"/>
      <name val="Roboto"/>
    </font>
    <font>
      <sz val="11"/>
      <color rgb="FF000000"/>
      <name val="Roboto"/>
    </font>
    <font>
      <b/>
      <sz val="8"/>
      <color rgb="FF000000"/>
      <name val="Roboto"/>
    </font>
    <font>
      <b/>
      <sz val="9"/>
      <color rgb="FFFFFFFF"/>
      <name val="Roboto"/>
    </font>
    <font>
      <b/>
      <sz val="8"/>
      <name val="Roboto"/>
    </font>
    <font>
      <sz val="9"/>
      <name val="Roboto"/>
    </font>
    <font>
      <b/>
      <sz val="9"/>
      <color rgb="FF000000"/>
      <name val="Roboto"/>
    </font>
    <font>
      <b/>
      <sz val="11"/>
      <color rgb="FF000000"/>
      <name val="Roboto"/>
    </font>
    <font>
      <sz val="10"/>
      <name val="Roboto"/>
    </font>
    <font>
      <sz val="10"/>
      <color rgb="FF434343"/>
      <name val="Roboto"/>
    </font>
    <font>
      <b/>
      <sz val="10"/>
      <color rgb="FF000000"/>
      <name val="Roboto"/>
    </font>
    <font>
      <sz val="8"/>
      <name val="Arial"/>
    </font>
    <font>
      <b/>
      <sz val="10"/>
      <color theme="0"/>
      <name val="Roboto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0B5394"/>
        <bgColor rgb="FF0B5394"/>
      </patternFill>
    </fill>
    <fill>
      <patternFill patternType="solid">
        <fgColor rgb="FF2F75B5"/>
        <bgColor rgb="FF2F75B5"/>
      </patternFill>
    </fill>
    <fill>
      <patternFill patternType="solid">
        <fgColor rgb="FFBDD7EE"/>
        <bgColor rgb="FFBDD7EE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0B5394"/>
      </bottom>
      <diagonal/>
    </border>
    <border>
      <left/>
      <right/>
      <top/>
      <bottom style="thin">
        <color rgb="FFD9D9D9"/>
      </bottom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/>
      <right/>
      <top/>
      <bottom style="thin">
        <color rgb="FFCCCCCC"/>
      </bottom>
      <diagonal/>
    </border>
    <border>
      <left/>
      <right/>
      <top/>
      <bottom style="thin">
        <color rgb="FFB7B7B7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 style="thin">
        <color rgb="FFB7B7B7"/>
      </right>
      <top/>
      <bottom style="thin">
        <color rgb="FFB7B7B7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</borders>
  <cellStyleXfs count="1">
    <xf numFmtId="0" fontId="0" fillId="0" borderId="0"/>
  </cellStyleXfs>
  <cellXfs count="108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7" fillId="0" borderId="2" xfId="0" applyFont="1" applyBorder="1"/>
    <xf numFmtId="0" fontId="15" fillId="2" borderId="0" xfId="0" applyFont="1" applyFill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2" xfId="0" applyFont="1" applyBorder="1"/>
    <xf numFmtId="0" fontId="16" fillId="0" borderId="0" xfId="0" applyFont="1" applyAlignment="1">
      <alignment vertical="center"/>
    </xf>
    <xf numFmtId="0" fontId="17" fillId="2" borderId="0" xfId="0" applyFont="1" applyFill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6" borderId="6" xfId="0" applyFont="1" applyFill="1" applyBorder="1" applyAlignment="1">
      <alignment horizontal="center" vertical="center"/>
    </xf>
    <xf numFmtId="49" fontId="23" fillId="7" borderId="7" xfId="0" applyNumberFormat="1" applyFont="1" applyFill="1" applyBorder="1" applyAlignment="1">
      <alignment horizontal="left" vertical="center" wrapText="1"/>
    </xf>
    <xf numFmtId="0" fontId="23" fillId="7" borderId="7" xfId="0" applyFont="1" applyFill="1" applyBorder="1" applyAlignment="1">
      <alignment vertical="center"/>
    </xf>
    <xf numFmtId="0" fontId="23" fillId="7" borderId="7" xfId="0" applyFont="1" applyFill="1" applyBorder="1" applyAlignment="1">
      <alignment vertical="center" wrapText="1"/>
    </xf>
    <xf numFmtId="165" fontId="23" fillId="7" borderId="7" xfId="0" applyNumberFormat="1" applyFont="1" applyFill="1" applyBorder="1" applyAlignment="1">
      <alignment horizontal="center" vertical="center" wrapText="1"/>
    </xf>
    <xf numFmtId="0" fontId="23" fillId="7" borderId="0" xfId="0" applyFont="1" applyFill="1" applyAlignment="1">
      <alignment horizontal="center" vertical="center" wrapText="1"/>
    </xf>
    <xf numFmtId="0" fontId="23" fillId="7" borderId="0" xfId="0" applyFont="1" applyFill="1" applyAlignment="1">
      <alignment horizontal="center" vertical="center"/>
    </xf>
    <xf numFmtId="166" fontId="23" fillId="7" borderId="0" xfId="0" applyNumberFormat="1" applyFont="1" applyFill="1" applyAlignment="1">
      <alignment horizontal="center" vertical="center"/>
    </xf>
    <xf numFmtId="3" fontId="23" fillId="7" borderId="0" xfId="0" applyNumberFormat="1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49" fontId="25" fillId="0" borderId="8" xfId="0" applyNumberFormat="1" applyFont="1" applyBorder="1" applyAlignment="1">
      <alignment horizontal="left" vertical="center" wrapText="1"/>
    </xf>
    <xf numFmtId="0" fontId="25" fillId="0" borderId="8" xfId="0" applyFont="1" applyBorder="1" applyAlignment="1">
      <alignment vertical="center" wrapText="1"/>
    </xf>
    <xf numFmtId="165" fontId="25" fillId="0" borderId="8" xfId="0" applyNumberFormat="1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9" fontId="25" fillId="0" borderId="8" xfId="0" applyNumberFormat="1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/>
    </xf>
    <xf numFmtId="9" fontId="26" fillId="0" borderId="9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 wrapText="1"/>
    </xf>
    <xf numFmtId="9" fontId="25" fillId="7" borderId="8" xfId="0" applyNumberFormat="1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/>
    </xf>
    <xf numFmtId="0" fontId="7" fillId="0" borderId="9" xfId="0" applyFont="1" applyBorder="1"/>
    <xf numFmtId="9" fontId="26" fillId="3" borderId="9" xfId="0" applyNumberFormat="1" applyFont="1" applyFill="1" applyBorder="1" applyAlignment="1">
      <alignment horizontal="center" vertical="center"/>
    </xf>
    <xf numFmtId="166" fontId="26" fillId="3" borderId="9" xfId="0" applyNumberFormat="1" applyFont="1" applyFill="1" applyBorder="1" applyAlignment="1">
      <alignment horizontal="center" vertical="center"/>
    </xf>
    <xf numFmtId="166" fontId="26" fillId="0" borderId="9" xfId="0" applyNumberFormat="1" applyFont="1" applyBorder="1" applyAlignment="1">
      <alignment horizontal="center" vertical="center"/>
    </xf>
    <xf numFmtId="0" fontId="7" fillId="3" borderId="9" xfId="0" applyFont="1" applyFill="1" applyBorder="1"/>
    <xf numFmtId="0" fontId="14" fillId="0" borderId="2" xfId="0" applyFont="1" applyBorder="1" applyAlignment="1">
      <alignment vertical="center"/>
    </xf>
    <xf numFmtId="0" fontId="7" fillId="0" borderId="2" xfId="0" applyFont="1" applyBorder="1" applyAlignment="1"/>
    <xf numFmtId="164" fontId="15" fillId="0" borderId="11" xfId="0" applyNumberFormat="1" applyFont="1" applyBorder="1" applyAlignment="1">
      <alignment vertical="center"/>
    </xf>
    <xf numFmtId="0" fontId="0" fillId="0" borderId="0" xfId="0" applyFont="1" applyAlignment="1"/>
    <xf numFmtId="0" fontId="26" fillId="0" borderId="14" xfId="0" applyFont="1" applyBorder="1" applyAlignment="1">
      <alignment horizontal="center" vertical="center"/>
    </xf>
    <xf numFmtId="9" fontId="26" fillId="3" borderId="14" xfId="0" applyNumberFormat="1" applyFont="1" applyFill="1" applyBorder="1" applyAlignment="1">
      <alignment horizontal="center" vertical="center"/>
    </xf>
    <xf numFmtId="9" fontId="26" fillId="0" borderId="14" xfId="0" applyNumberFormat="1" applyFont="1" applyBorder="1" applyAlignment="1">
      <alignment horizontal="center" vertical="center"/>
    </xf>
    <xf numFmtId="0" fontId="23" fillId="7" borderId="0" xfId="0" applyFont="1" applyFill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23" fillId="7" borderId="19" xfId="0" applyFont="1" applyFill="1" applyBorder="1" applyAlignment="1">
      <alignment horizontal="center" vertical="center"/>
    </xf>
    <xf numFmtId="0" fontId="26" fillId="3" borderId="16" xfId="0" applyFont="1" applyFill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3" borderId="20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6" fillId="8" borderId="20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9" borderId="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8" borderId="15" xfId="0" applyFont="1" applyFill="1" applyBorder="1" applyAlignment="1">
      <alignment horizontal="center" vertical="center"/>
    </xf>
    <xf numFmtId="0" fontId="26" fillId="9" borderId="15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 wrapText="1"/>
    </xf>
    <xf numFmtId="0" fontId="0" fillId="0" borderId="0" xfId="0" applyFont="1" applyAlignment="1"/>
    <xf numFmtId="0" fontId="28" fillId="5" borderId="9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16" xfId="0" applyFont="1" applyFill="1" applyBorder="1" applyAlignment="1">
      <alignment horizontal="center" vertical="center"/>
    </xf>
    <xf numFmtId="0" fontId="26" fillId="8" borderId="16" xfId="0" applyFont="1" applyFill="1" applyBorder="1" applyAlignment="1">
      <alignment horizontal="center" vertical="center"/>
    </xf>
    <xf numFmtId="0" fontId="0" fillId="0" borderId="0" xfId="0" applyFont="1" applyAlignment="1"/>
    <xf numFmtId="0" fontId="14" fillId="0" borderId="0" xfId="0" applyFont="1" applyBorder="1" applyAlignment="1">
      <alignment horizontal="left" vertical="center"/>
    </xf>
    <xf numFmtId="0" fontId="7" fillId="0" borderId="0" xfId="0" applyFont="1" applyBorder="1"/>
    <xf numFmtId="0" fontId="15" fillId="0" borderId="0" xfId="0" applyFont="1" applyBorder="1" applyAlignment="1">
      <alignment vertical="center"/>
    </xf>
    <xf numFmtId="164" fontId="15" fillId="0" borderId="0" xfId="0" applyNumberFormat="1" applyFont="1" applyBorder="1" applyAlignment="1">
      <alignment vertical="center"/>
    </xf>
    <xf numFmtId="164" fontId="15" fillId="0" borderId="0" xfId="0" applyNumberFormat="1" applyFont="1" applyBorder="1" applyAlignment="1">
      <alignment horizontal="left" vertical="center"/>
    </xf>
    <xf numFmtId="164" fontId="15" fillId="0" borderId="11" xfId="0" applyNumberFormat="1" applyFont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7" fillId="0" borderId="1" xfId="0" applyFont="1" applyBorder="1"/>
    <xf numFmtId="0" fontId="8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14" fillId="0" borderId="2" xfId="0" applyFont="1" applyBorder="1" applyAlignment="1">
      <alignment horizontal="left" vertical="center"/>
    </xf>
    <xf numFmtId="0" fontId="7" fillId="0" borderId="2" xfId="0" applyFont="1" applyBorder="1"/>
    <xf numFmtId="0" fontId="15" fillId="2" borderId="2" xfId="0" applyFont="1" applyFill="1" applyBorder="1" applyAlignment="1">
      <alignment vertical="center"/>
    </xf>
    <xf numFmtId="164" fontId="15" fillId="0" borderId="2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19" fillId="5" borderId="12" xfId="0" applyFont="1" applyFill="1" applyBorder="1" applyAlignment="1">
      <alignment horizontal="center" vertical="center"/>
    </xf>
    <xf numFmtId="0" fontId="19" fillId="5" borderId="8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15" fillId="0" borderId="2" xfId="0" applyFont="1" applyBorder="1" applyAlignment="1">
      <alignment vertical="center"/>
    </xf>
    <xf numFmtId="0" fontId="19" fillId="5" borderId="4" xfId="0" applyFont="1" applyFill="1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3D85C6"/>
    <outlinePr summaryBelow="0" summaryRight="0"/>
  </sheetPr>
  <dimension ref="A1:AD46"/>
  <sheetViews>
    <sheetView showGridLines="0" tabSelected="1" topLeftCell="A13" zoomScale="85" zoomScaleNormal="85" workbookViewId="0">
      <selection activeCell="AA46" sqref="AA46"/>
    </sheetView>
  </sheetViews>
  <sheetFormatPr baseColWidth="10" defaultColWidth="12.5703125" defaultRowHeight="15.75" customHeight="1" outlineLevelRow="1" x14ac:dyDescent="0.2"/>
  <cols>
    <col min="1" max="1" width="4.28515625" customWidth="1"/>
    <col min="2" max="2" width="11.140625" customWidth="1"/>
    <col min="3" max="3" width="33.85546875" customWidth="1"/>
    <col min="4" max="4" width="15.42578125" customWidth="1"/>
    <col min="5" max="6" width="10.42578125" customWidth="1"/>
    <col min="7" max="7" width="8.5703125" customWidth="1"/>
    <col min="9" max="27" width="5.7109375" customWidth="1"/>
    <col min="28" max="30" width="3" customWidth="1"/>
  </cols>
  <sheetData>
    <row r="1" spans="1:30" ht="21" customHeight="1" x14ac:dyDescent="0.2">
      <c r="A1" s="1"/>
      <c r="B1" s="2"/>
      <c r="C1" s="3"/>
      <c r="D1" s="3"/>
      <c r="E1" s="3"/>
      <c r="F1" s="4"/>
      <c r="G1" s="4"/>
      <c r="H1" s="3"/>
      <c r="I1" s="5"/>
      <c r="J1" s="6"/>
      <c r="K1" s="7"/>
      <c r="L1" s="8"/>
      <c r="M1" s="9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1" customHeight="1" thickBot="1" x14ac:dyDescent="0.25">
      <c r="A2" s="1"/>
      <c r="B2" s="89" t="s">
        <v>0</v>
      </c>
      <c r="C2" s="90"/>
      <c r="D2" s="90"/>
      <c r="E2" s="90"/>
      <c r="F2" s="90"/>
      <c r="G2" s="90"/>
      <c r="H2" s="90"/>
      <c r="I2" s="91"/>
      <c r="J2" s="90"/>
      <c r="K2" s="90"/>
      <c r="L2" s="90"/>
      <c r="M2" s="90"/>
      <c r="N2" s="92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</row>
    <row r="3" spans="1:30" ht="21" customHeight="1" thickTop="1" x14ac:dyDescent="0.2">
      <c r="A3" s="1"/>
      <c r="B3" s="10"/>
      <c r="C3" s="10"/>
      <c r="D3" s="11"/>
      <c r="E3" s="11"/>
      <c r="F3" s="11"/>
      <c r="G3" s="11"/>
      <c r="H3" s="11"/>
      <c r="I3" s="12"/>
      <c r="J3" s="12"/>
      <c r="K3" s="12"/>
      <c r="L3" s="13"/>
      <c r="M3" s="13"/>
      <c r="N3" s="1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1" customHeight="1" x14ac:dyDescent="0.2">
      <c r="A4" s="1"/>
      <c r="B4" s="93" t="s">
        <v>1</v>
      </c>
      <c r="C4" s="94"/>
      <c r="D4" s="95" t="s">
        <v>40</v>
      </c>
      <c r="E4" s="94"/>
      <c r="F4" s="94"/>
      <c r="G4" s="94"/>
      <c r="H4" s="15"/>
      <c r="I4" s="52" t="s">
        <v>2</v>
      </c>
      <c r="J4" s="53"/>
      <c r="K4" s="53"/>
      <c r="L4" s="53"/>
      <c r="M4" s="53"/>
      <c r="N4" s="53"/>
      <c r="O4" s="16"/>
      <c r="P4" s="14"/>
      <c r="Q4" s="14"/>
      <c r="R4" s="14"/>
      <c r="S4" s="14"/>
      <c r="T4" s="96" t="s">
        <v>3</v>
      </c>
      <c r="U4" s="97"/>
      <c r="V4" s="97"/>
      <c r="W4" s="97"/>
      <c r="X4" s="97"/>
      <c r="Y4" s="97"/>
    </row>
    <row r="5" spans="1:30" ht="21" customHeight="1" x14ac:dyDescent="0.2">
      <c r="A5" s="1"/>
      <c r="B5" s="93" t="s">
        <v>4</v>
      </c>
      <c r="C5" s="94"/>
      <c r="D5" s="105" t="s">
        <v>39</v>
      </c>
      <c r="E5" s="94"/>
      <c r="F5" s="94"/>
      <c r="G5" s="94"/>
      <c r="H5" s="17"/>
      <c r="I5" s="93" t="s">
        <v>5</v>
      </c>
      <c r="J5" s="94"/>
      <c r="K5" s="94"/>
      <c r="L5" s="94"/>
      <c r="M5" s="94"/>
      <c r="N5" s="94"/>
      <c r="O5" s="54"/>
      <c r="P5" s="54"/>
      <c r="Q5" s="54"/>
      <c r="R5" s="54"/>
      <c r="S5" s="54"/>
      <c r="T5" s="88">
        <f ca="1">TODAY()</f>
        <v>45079</v>
      </c>
      <c r="U5" s="88"/>
      <c r="V5" s="88"/>
      <c r="W5" s="88"/>
      <c r="X5" s="88"/>
      <c r="Y5" s="88"/>
      <c r="AD5" s="18"/>
    </row>
    <row r="6" spans="1:30" ht="21" customHeight="1" x14ac:dyDescent="0.2">
      <c r="A6" s="19"/>
      <c r="B6" s="93" t="s">
        <v>94</v>
      </c>
      <c r="C6" s="94"/>
      <c r="D6" s="105" t="s">
        <v>95</v>
      </c>
      <c r="E6" s="94"/>
      <c r="F6" s="94"/>
      <c r="G6" s="94"/>
      <c r="H6" s="21"/>
      <c r="I6" s="93" t="s">
        <v>96</v>
      </c>
      <c r="J6" s="94"/>
      <c r="K6" s="94"/>
      <c r="L6" s="94"/>
      <c r="M6" s="94"/>
      <c r="N6" s="94"/>
      <c r="O6" s="54"/>
      <c r="P6" s="54"/>
      <c r="Q6" s="54"/>
      <c r="R6" s="54"/>
      <c r="S6" s="54"/>
      <c r="T6" s="88" t="s">
        <v>97</v>
      </c>
      <c r="U6" s="88"/>
      <c r="V6" s="88"/>
      <c r="W6" s="88"/>
      <c r="X6" s="88"/>
      <c r="Y6" s="88"/>
      <c r="Z6" s="19"/>
      <c r="AA6" s="19"/>
      <c r="AB6" s="19"/>
      <c r="AC6" s="19"/>
      <c r="AD6" s="19"/>
    </row>
    <row r="7" spans="1:30" s="82" customFormat="1" ht="21" customHeight="1" x14ac:dyDescent="0.2">
      <c r="A7" s="19"/>
      <c r="B7" s="93" t="s">
        <v>98</v>
      </c>
      <c r="C7" s="94"/>
      <c r="D7" s="105" t="s">
        <v>99</v>
      </c>
      <c r="E7" s="94"/>
      <c r="F7" s="94"/>
      <c r="G7" s="94"/>
      <c r="H7" s="21"/>
      <c r="I7" s="93" t="s">
        <v>100</v>
      </c>
      <c r="J7" s="94"/>
      <c r="K7" s="94"/>
      <c r="L7" s="94"/>
      <c r="M7" s="94"/>
      <c r="N7" s="94"/>
      <c r="O7" s="54"/>
      <c r="P7" s="54"/>
      <c r="Q7" s="54"/>
      <c r="R7" s="54"/>
      <c r="S7" s="54"/>
      <c r="T7" s="88" t="s">
        <v>101</v>
      </c>
      <c r="U7" s="88"/>
      <c r="V7" s="88"/>
      <c r="W7" s="88"/>
      <c r="X7" s="88"/>
      <c r="Y7" s="88"/>
      <c r="Z7" s="19"/>
      <c r="AA7" s="19"/>
      <c r="AB7" s="19"/>
      <c r="AC7" s="19"/>
      <c r="AD7" s="19"/>
    </row>
    <row r="8" spans="1:30" s="82" customFormat="1" ht="21" customHeight="1" x14ac:dyDescent="0.2">
      <c r="A8" s="19"/>
      <c r="B8" s="83"/>
      <c r="C8" s="84"/>
      <c r="D8" s="85"/>
      <c r="E8" s="84"/>
      <c r="F8" s="84"/>
      <c r="G8" s="84"/>
      <c r="H8" s="21"/>
      <c r="I8" s="83"/>
      <c r="J8" s="84"/>
      <c r="K8" s="84"/>
      <c r="L8" s="84"/>
      <c r="M8" s="84"/>
      <c r="N8" s="84"/>
      <c r="O8" s="86"/>
      <c r="P8" s="86"/>
      <c r="Q8" s="86"/>
      <c r="R8" s="86"/>
      <c r="S8" s="86"/>
      <c r="T8" s="87"/>
      <c r="U8" s="87"/>
      <c r="V8" s="87"/>
      <c r="W8" s="87"/>
      <c r="X8" s="87"/>
      <c r="Y8" s="87"/>
      <c r="Z8" s="19"/>
      <c r="AA8" s="19"/>
      <c r="AB8" s="19"/>
      <c r="AC8" s="19"/>
      <c r="AD8" s="19"/>
    </row>
    <row r="9" spans="1:30" ht="21" customHeight="1" x14ac:dyDescent="0.2">
      <c r="A9" s="19"/>
      <c r="B9" s="20"/>
      <c r="C9" s="20"/>
      <c r="D9" s="20"/>
      <c r="E9" s="20"/>
      <c r="F9" s="20"/>
      <c r="G9" s="21"/>
      <c r="H9" s="21"/>
      <c r="I9" s="20"/>
      <c r="J9" s="20"/>
      <c r="K9" s="20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30" ht="17.25" customHeight="1" x14ac:dyDescent="0.2">
      <c r="A10" s="22"/>
      <c r="B10" s="103" t="s">
        <v>6</v>
      </c>
      <c r="C10" s="103" t="s">
        <v>7</v>
      </c>
      <c r="D10" s="103" t="s">
        <v>8</v>
      </c>
      <c r="E10" s="103" t="s">
        <v>9</v>
      </c>
      <c r="F10" s="103" t="s">
        <v>10</v>
      </c>
      <c r="G10" s="103" t="s">
        <v>11</v>
      </c>
      <c r="H10" s="103" t="s">
        <v>12</v>
      </c>
      <c r="I10" s="101" t="s">
        <v>13</v>
      </c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55"/>
      <c r="AC10" s="55"/>
      <c r="AD10" s="55"/>
    </row>
    <row r="11" spans="1:30" ht="17.25" customHeight="1" x14ac:dyDescent="0.2">
      <c r="A11" s="23"/>
      <c r="B11" s="104"/>
      <c r="C11" s="104"/>
      <c r="D11" s="104"/>
      <c r="E11" s="104"/>
      <c r="F11" s="104"/>
      <c r="G11" s="104"/>
      <c r="H11" s="104"/>
      <c r="I11" s="106" t="s">
        <v>14</v>
      </c>
      <c r="J11" s="107"/>
      <c r="K11" s="107"/>
      <c r="L11" s="98" t="s">
        <v>15</v>
      </c>
      <c r="M11" s="99"/>
      <c r="N11" s="99"/>
      <c r="O11" s="99"/>
      <c r="P11" s="98" t="s">
        <v>16</v>
      </c>
      <c r="Q11" s="99"/>
      <c r="R11" s="99"/>
      <c r="S11" s="100"/>
      <c r="T11" s="98" t="s">
        <v>17</v>
      </c>
      <c r="U11" s="99"/>
      <c r="V11" s="99"/>
      <c r="W11" s="100"/>
      <c r="X11" s="98" t="s">
        <v>18</v>
      </c>
      <c r="Y11" s="99"/>
      <c r="Z11" s="99"/>
      <c r="AA11" s="99"/>
      <c r="AB11" s="55"/>
      <c r="AC11" s="55"/>
      <c r="AD11" s="55"/>
    </row>
    <row r="12" spans="1:30" ht="17.25" customHeight="1" x14ac:dyDescent="0.2">
      <c r="A12" s="24"/>
      <c r="B12" s="104"/>
      <c r="C12" s="104"/>
      <c r="D12" s="104"/>
      <c r="E12" s="104"/>
      <c r="F12" s="104"/>
      <c r="G12" s="104"/>
      <c r="H12" s="104"/>
      <c r="I12" s="25" t="s">
        <v>20</v>
      </c>
      <c r="J12" s="25" t="s">
        <v>21</v>
      </c>
      <c r="K12" s="25" t="s">
        <v>22</v>
      </c>
      <c r="L12" s="25" t="s">
        <v>19</v>
      </c>
      <c r="M12" s="25" t="s">
        <v>20</v>
      </c>
      <c r="N12" s="25" t="s">
        <v>21</v>
      </c>
      <c r="O12" s="25" t="s">
        <v>22</v>
      </c>
      <c r="P12" s="25" t="s">
        <v>19</v>
      </c>
      <c r="Q12" s="25" t="s">
        <v>20</v>
      </c>
      <c r="R12" s="25" t="s">
        <v>21</v>
      </c>
      <c r="S12" s="25" t="s">
        <v>22</v>
      </c>
      <c r="T12" s="25" t="s">
        <v>19</v>
      </c>
      <c r="U12" s="25" t="s">
        <v>20</v>
      </c>
      <c r="V12" s="25" t="s">
        <v>21</v>
      </c>
      <c r="W12" s="25" t="s">
        <v>22</v>
      </c>
      <c r="X12" s="25" t="s">
        <v>19</v>
      </c>
      <c r="Y12" s="25" t="s">
        <v>20</v>
      </c>
      <c r="Z12" s="25" t="s">
        <v>21</v>
      </c>
      <c r="AA12" s="25" t="s">
        <v>22</v>
      </c>
    </row>
    <row r="13" spans="1:30" ht="21" customHeight="1" x14ac:dyDescent="0.2">
      <c r="A13" s="19"/>
      <c r="B13" s="26">
        <v>1</v>
      </c>
      <c r="C13" s="27" t="s">
        <v>102</v>
      </c>
      <c r="D13" s="28"/>
      <c r="E13" s="29">
        <f>MIN(E14:E18)</f>
        <v>45048</v>
      </c>
      <c r="F13" s="29">
        <f>MAX(F14:F18)</f>
        <v>45079</v>
      </c>
      <c r="G13" s="30">
        <f>SUM(G14:G17)</f>
        <v>4</v>
      </c>
      <c r="H13" s="28"/>
      <c r="I13" s="31"/>
      <c r="J13" s="32"/>
      <c r="K13" s="33"/>
      <c r="L13" s="34"/>
      <c r="M13" s="31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55"/>
      <c r="AC13" s="55"/>
      <c r="AD13" s="55"/>
    </row>
    <row r="14" spans="1:30" ht="17.25" customHeight="1" outlineLevel="1" x14ac:dyDescent="0.2">
      <c r="A14" s="35"/>
      <c r="B14" s="36">
        <v>1.1000000000000001</v>
      </c>
      <c r="C14" s="37" t="s">
        <v>0</v>
      </c>
      <c r="D14" s="37" t="s">
        <v>26</v>
      </c>
      <c r="E14" s="38">
        <v>45048</v>
      </c>
      <c r="F14" s="38">
        <v>45048</v>
      </c>
      <c r="G14" s="39">
        <f>getColorCount(I14:AA14,$I$14)</f>
        <v>1</v>
      </c>
      <c r="H14" s="40">
        <v>1</v>
      </c>
      <c r="I14" s="78" t="s">
        <v>67</v>
      </c>
      <c r="J14" s="41"/>
      <c r="K14" s="56"/>
      <c r="L14" s="60"/>
      <c r="M14" s="41"/>
      <c r="N14" s="41"/>
      <c r="O14" s="65"/>
      <c r="P14" s="60"/>
      <c r="Q14" s="41"/>
      <c r="R14" s="68"/>
      <c r="S14" s="69"/>
      <c r="T14" s="60"/>
      <c r="U14" s="41"/>
      <c r="V14" s="41"/>
      <c r="W14" s="65"/>
      <c r="X14" s="74"/>
      <c r="Y14" s="41"/>
      <c r="Z14" s="41"/>
      <c r="AA14" s="41"/>
      <c r="AB14" s="55"/>
      <c r="AC14" s="55"/>
      <c r="AD14" s="55"/>
    </row>
    <row r="15" spans="1:30" ht="17.25" customHeight="1" outlineLevel="1" x14ac:dyDescent="0.2">
      <c r="A15" s="35"/>
      <c r="B15" s="36" t="s">
        <v>80</v>
      </c>
      <c r="C15" s="37" t="s">
        <v>83</v>
      </c>
      <c r="D15" s="37" t="s">
        <v>26</v>
      </c>
      <c r="E15" s="38">
        <v>45050</v>
      </c>
      <c r="F15" s="38">
        <v>45050</v>
      </c>
      <c r="G15" s="39">
        <f>getColorCount(I15:AA15,$I$14)</f>
        <v>1</v>
      </c>
      <c r="H15" s="40">
        <v>0</v>
      </c>
      <c r="I15" s="41"/>
      <c r="J15" s="78" t="s">
        <v>92</v>
      </c>
      <c r="K15" s="56"/>
      <c r="L15" s="60"/>
      <c r="M15" s="41"/>
      <c r="N15" s="41"/>
      <c r="O15" s="65"/>
      <c r="P15" s="60"/>
      <c r="Q15" s="41"/>
      <c r="R15" s="68"/>
      <c r="S15" s="69"/>
      <c r="T15" s="60"/>
      <c r="U15" s="41"/>
      <c r="V15" s="41"/>
      <c r="W15" s="65"/>
      <c r="X15" s="74"/>
      <c r="Y15" s="41"/>
      <c r="Z15" s="41"/>
      <c r="AA15" s="41"/>
      <c r="AB15" s="55"/>
      <c r="AC15" s="55"/>
      <c r="AD15" s="55"/>
    </row>
    <row r="16" spans="1:30" s="55" customFormat="1" ht="17.25" customHeight="1" outlineLevel="1" x14ac:dyDescent="0.2">
      <c r="A16" s="35"/>
      <c r="B16" s="36" t="s">
        <v>81</v>
      </c>
      <c r="C16" s="37" t="s">
        <v>23</v>
      </c>
      <c r="D16" s="37" t="s">
        <v>26</v>
      </c>
      <c r="E16" s="38">
        <v>45051</v>
      </c>
      <c r="F16" s="38">
        <v>45051</v>
      </c>
      <c r="G16" s="39">
        <f>getColorCount(K16:AA16,$I$14)</f>
        <v>1</v>
      </c>
      <c r="H16" s="40">
        <v>0</v>
      </c>
      <c r="I16" s="41"/>
      <c r="J16" s="56"/>
      <c r="K16" s="78" t="s">
        <v>68</v>
      </c>
      <c r="L16" s="60"/>
      <c r="M16" s="41"/>
      <c r="N16" s="41"/>
      <c r="O16" s="65"/>
      <c r="P16" s="60"/>
      <c r="Q16" s="41"/>
      <c r="R16" s="68"/>
      <c r="S16" s="69"/>
      <c r="T16" s="60"/>
      <c r="U16" s="41"/>
      <c r="V16" s="41"/>
      <c r="W16" s="65"/>
      <c r="X16" s="74"/>
      <c r="Y16" s="41"/>
      <c r="Z16" s="41"/>
      <c r="AA16" s="41"/>
    </row>
    <row r="17" spans="1:30" s="77" customFormat="1" ht="17.25" customHeight="1" outlineLevel="1" x14ac:dyDescent="0.2">
      <c r="A17" s="35"/>
      <c r="B17" s="36" t="s">
        <v>62</v>
      </c>
      <c r="C17" s="37" t="s">
        <v>24</v>
      </c>
      <c r="D17" s="37" t="s">
        <v>26</v>
      </c>
      <c r="E17" s="38">
        <v>45051</v>
      </c>
      <c r="F17" s="38">
        <v>45051</v>
      </c>
      <c r="G17" s="39">
        <f>getColorCount(I17:AA17,$I$14)</f>
        <v>1</v>
      </c>
      <c r="H17" s="40">
        <v>0</v>
      </c>
      <c r="I17" s="56"/>
      <c r="J17" s="56"/>
      <c r="K17" s="78" t="s">
        <v>68</v>
      </c>
      <c r="L17" s="61"/>
      <c r="M17" s="43"/>
      <c r="N17" s="43"/>
      <c r="O17" s="66"/>
      <c r="P17" s="61"/>
      <c r="Q17" s="43"/>
      <c r="R17" s="70"/>
      <c r="S17" s="71"/>
      <c r="T17" s="61"/>
      <c r="U17" s="43"/>
      <c r="V17" s="43"/>
      <c r="W17" s="66"/>
      <c r="X17" s="74"/>
      <c r="Y17" s="43"/>
      <c r="Z17" s="43"/>
      <c r="AA17" s="43"/>
    </row>
    <row r="18" spans="1:30" s="55" customFormat="1" ht="17.25" customHeight="1" outlineLevel="1" x14ac:dyDescent="0.2">
      <c r="A18" s="35"/>
      <c r="B18" s="36" t="s">
        <v>82</v>
      </c>
      <c r="C18" s="76" t="s">
        <v>63</v>
      </c>
      <c r="D18" s="37" t="s">
        <v>26</v>
      </c>
      <c r="E18" s="38">
        <v>45050</v>
      </c>
      <c r="F18" s="38">
        <v>45079</v>
      </c>
      <c r="G18" s="39">
        <f>getColorCount(I18:AA18,$I$14)</f>
        <v>8</v>
      </c>
      <c r="H18" s="40">
        <v>0</v>
      </c>
      <c r="I18" s="56"/>
      <c r="J18" s="56"/>
      <c r="K18" s="78" t="s">
        <v>93</v>
      </c>
      <c r="L18" s="80" t="s">
        <v>68</v>
      </c>
      <c r="M18" s="43"/>
      <c r="N18" s="43"/>
      <c r="O18" s="78" t="s">
        <v>69</v>
      </c>
      <c r="P18" s="61"/>
      <c r="Q18" s="43"/>
      <c r="R18" s="70"/>
      <c r="S18" s="71"/>
      <c r="T18" s="78" t="s">
        <v>69</v>
      </c>
      <c r="U18" s="43"/>
      <c r="V18" s="43"/>
      <c r="W18" s="79" t="s">
        <v>69</v>
      </c>
      <c r="X18" s="81"/>
      <c r="Y18" s="78" t="s">
        <v>91</v>
      </c>
      <c r="Z18" s="78" t="s">
        <v>91</v>
      </c>
      <c r="AA18" s="78" t="s">
        <v>91</v>
      </c>
    </row>
    <row r="19" spans="1:30" ht="21" customHeight="1" x14ac:dyDescent="0.2">
      <c r="A19" s="19"/>
      <c r="B19" s="26">
        <v>2</v>
      </c>
      <c r="C19" s="27" t="s">
        <v>28</v>
      </c>
      <c r="D19" s="28"/>
      <c r="E19" s="29">
        <f>MIN(E20:E26)</f>
        <v>45051</v>
      </c>
      <c r="F19" s="29">
        <f>MAX(F20:F26)</f>
        <v>45069</v>
      </c>
      <c r="G19" s="44">
        <f>SUM(G20:G26)</f>
        <v>11</v>
      </c>
      <c r="H19" s="45"/>
      <c r="I19" s="31"/>
      <c r="J19" s="32"/>
      <c r="K19" s="33"/>
      <c r="L19" s="62"/>
      <c r="M19" s="59"/>
      <c r="N19" s="59"/>
      <c r="O19" s="63"/>
      <c r="P19" s="62"/>
      <c r="Q19" s="59"/>
      <c r="R19" s="59"/>
      <c r="S19" s="59"/>
      <c r="T19" s="62"/>
      <c r="U19" s="59"/>
      <c r="V19" s="59"/>
      <c r="W19" s="63"/>
      <c r="X19" s="62"/>
      <c r="Y19" s="59"/>
      <c r="Z19" s="34"/>
      <c r="AA19" s="34"/>
      <c r="AB19" s="55"/>
      <c r="AC19" s="55"/>
      <c r="AD19" s="55"/>
    </row>
    <row r="20" spans="1:30" ht="17.25" customHeight="1" outlineLevel="1" x14ac:dyDescent="0.2">
      <c r="A20" s="35"/>
      <c r="B20" s="36">
        <v>2.1</v>
      </c>
      <c r="C20" s="37" t="s">
        <v>25</v>
      </c>
      <c r="D20" s="37" t="s">
        <v>26</v>
      </c>
      <c r="E20" s="38">
        <v>45051</v>
      </c>
      <c r="F20" s="38">
        <v>45054</v>
      </c>
      <c r="G20" s="39">
        <f t="shared" ref="G20:G25" si="0">getColorCount(I20:AA20,$I$14)</f>
        <v>1</v>
      </c>
      <c r="H20" s="40">
        <v>0</v>
      </c>
      <c r="I20" s="42"/>
      <c r="J20" s="42"/>
      <c r="K20" s="41"/>
      <c r="L20" s="79" t="s">
        <v>68</v>
      </c>
      <c r="M20" s="46"/>
      <c r="N20" s="46"/>
      <c r="O20" s="67"/>
      <c r="P20" s="42"/>
      <c r="Q20" s="41"/>
      <c r="R20" s="70"/>
      <c r="S20" s="73"/>
      <c r="T20" s="64"/>
      <c r="U20" s="46"/>
      <c r="V20" s="46"/>
      <c r="W20" s="67"/>
      <c r="X20" s="75"/>
      <c r="Y20" s="46"/>
      <c r="Z20" s="46"/>
      <c r="AA20" s="46"/>
      <c r="AB20" s="55"/>
      <c r="AC20" s="55"/>
      <c r="AD20" s="55"/>
    </row>
    <row r="21" spans="1:30" ht="17.25" customHeight="1" outlineLevel="1" x14ac:dyDescent="0.2">
      <c r="A21" s="35"/>
      <c r="B21" s="36" t="s">
        <v>31</v>
      </c>
      <c r="C21" s="37" t="s">
        <v>29</v>
      </c>
      <c r="D21" s="37" t="s">
        <v>26</v>
      </c>
      <c r="E21" s="38">
        <v>45054</v>
      </c>
      <c r="F21" s="38">
        <v>45054</v>
      </c>
      <c r="G21" s="39">
        <f t="shared" si="0"/>
        <v>1</v>
      </c>
      <c r="H21" s="40">
        <v>0</v>
      </c>
      <c r="I21" s="42"/>
      <c r="J21" s="42"/>
      <c r="K21" s="41"/>
      <c r="L21" s="79" t="s">
        <v>68</v>
      </c>
      <c r="M21" s="41"/>
      <c r="N21" s="41"/>
      <c r="O21" s="65"/>
      <c r="P21" s="42"/>
      <c r="Q21" s="41"/>
      <c r="R21" s="68"/>
      <c r="S21" s="69"/>
      <c r="T21" s="60"/>
      <c r="U21" s="41"/>
      <c r="V21" s="41"/>
      <c r="W21" s="65"/>
      <c r="X21" s="74"/>
      <c r="Y21" s="41"/>
      <c r="Z21" s="41"/>
      <c r="AA21" s="41"/>
      <c r="AB21" s="55"/>
      <c r="AC21" s="55"/>
      <c r="AD21" s="55"/>
    </row>
    <row r="22" spans="1:30" ht="17.25" customHeight="1" outlineLevel="1" x14ac:dyDescent="0.2">
      <c r="A22" s="35"/>
      <c r="B22" s="36" t="s">
        <v>33</v>
      </c>
      <c r="C22" s="37" t="s">
        <v>35</v>
      </c>
      <c r="D22" s="37" t="s">
        <v>26</v>
      </c>
      <c r="E22" s="38">
        <v>45054</v>
      </c>
      <c r="F22" s="38">
        <v>45054</v>
      </c>
      <c r="G22" s="39">
        <f>getColorCount(I22:AA22,$I$14)</f>
        <v>1</v>
      </c>
      <c r="H22" s="40">
        <v>0</v>
      </c>
      <c r="I22" s="42"/>
      <c r="J22" s="42"/>
      <c r="K22" s="41"/>
      <c r="L22" s="79" t="s">
        <v>68</v>
      </c>
      <c r="N22" s="41"/>
      <c r="O22" s="65"/>
      <c r="P22" s="60"/>
      <c r="Q22" s="41"/>
      <c r="R22" s="68"/>
      <c r="S22" s="69"/>
      <c r="T22" s="60"/>
      <c r="U22" s="41"/>
      <c r="V22" s="41"/>
      <c r="W22" s="65"/>
      <c r="X22" s="74"/>
      <c r="Y22" s="41"/>
      <c r="Z22" s="41"/>
      <c r="AA22" s="41"/>
      <c r="AB22" s="55"/>
      <c r="AC22" s="55"/>
      <c r="AD22" s="55"/>
    </row>
    <row r="23" spans="1:30" s="77" customFormat="1" ht="17.25" customHeight="1" outlineLevel="1" x14ac:dyDescent="0.2">
      <c r="A23" s="35"/>
      <c r="B23" s="36" t="s">
        <v>32</v>
      </c>
      <c r="C23" s="37" t="s">
        <v>37</v>
      </c>
      <c r="D23" s="37" t="s">
        <v>26</v>
      </c>
      <c r="E23" s="38">
        <v>45055</v>
      </c>
      <c r="F23" s="38">
        <v>45055</v>
      </c>
      <c r="G23" s="39">
        <f>getColorCount(I23:AA23,$I$14)</f>
        <v>1</v>
      </c>
      <c r="H23" s="40">
        <v>0</v>
      </c>
      <c r="I23" s="42"/>
      <c r="J23" s="41"/>
      <c r="K23" s="57"/>
      <c r="L23" s="64"/>
      <c r="M23" s="79" t="s">
        <v>68</v>
      </c>
      <c r="N23" s="41"/>
      <c r="O23" s="65"/>
      <c r="P23" s="60"/>
      <c r="Q23" s="41"/>
      <c r="R23" s="68"/>
      <c r="S23" s="69"/>
      <c r="T23" s="60"/>
      <c r="U23" s="41"/>
      <c r="V23" s="41"/>
      <c r="W23" s="65"/>
      <c r="X23" s="74"/>
      <c r="Y23" s="41"/>
      <c r="Z23" s="41"/>
      <c r="AA23" s="41"/>
    </row>
    <row r="24" spans="1:30" ht="17.25" customHeight="1" outlineLevel="1" x14ac:dyDescent="0.2">
      <c r="A24" s="35"/>
      <c r="B24" s="36" t="s">
        <v>34</v>
      </c>
      <c r="C24" s="37" t="s">
        <v>38</v>
      </c>
      <c r="D24" s="37" t="s">
        <v>26</v>
      </c>
      <c r="E24" s="38">
        <v>45055</v>
      </c>
      <c r="F24" s="38">
        <v>45055</v>
      </c>
      <c r="G24" s="39">
        <f t="shared" si="0"/>
        <v>1</v>
      </c>
      <c r="H24" s="40">
        <v>0</v>
      </c>
      <c r="I24" s="42"/>
      <c r="J24" s="41"/>
      <c r="K24" s="57"/>
      <c r="L24" s="64"/>
      <c r="M24" s="80" t="s">
        <v>68</v>
      </c>
      <c r="O24" s="65"/>
      <c r="P24" s="60"/>
      <c r="Q24" s="41"/>
      <c r="R24" s="68"/>
      <c r="S24" s="69"/>
      <c r="T24" s="42"/>
      <c r="U24" s="41"/>
      <c r="V24" s="41"/>
      <c r="W24" s="65"/>
      <c r="X24" s="74"/>
      <c r="Y24" s="42"/>
      <c r="Z24" s="41"/>
      <c r="AA24" s="41"/>
      <c r="AB24" s="55"/>
      <c r="AC24" s="55"/>
      <c r="AD24" s="55"/>
    </row>
    <row r="25" spans="1:30" s="55" customFormat="1" ht="17.25" customHeight="1" outlineLevel="1" x14ac:dyDescent="0.2">
      <c r="A25" s="35"/>
      <c r="B25" s="36" t="s">
        <v>36</v>
      </c>
      <c r="C25" s="37" t="s">
        <v>41</v>
      </c>
      <c r="D25" s="37" t="s">
        <v>26</v>
      </c>
      <c r="E25" s="38">
        <v>45057</v>
      </c>
      <c r="F25" s="38">
        <v>45058</v>
      </c>
      <c r="G25" s="39">
        <f t="shared" si="0"/>
        <v>2</v>
      </c>
      <c r="H25" s="40">
        <v>0</v>
      </c>
      <c r="I25" s="42"/>
      <c r="J25" s="41"/>
      <c r="K25" s="57"/>
      <c r="L25" s="64"/>
      <c r="M25" s="41"/>
      <c r="N25" s="80" t="s">
        <v>68</v>
      </c>
      <c r="O25" s="80" t="s">
        <v>68</v>
      </c>
      <c r="P25" s="60"/>
      <c r="Q25" s="41"/>
      <c r="R25" s="68"/>
      <c r="S25" s="69"/>
      <c r="T25" s="42"/>
      <c r="U25" s="41"/>
      <c r="V25" s="41"/>
      <c r="W25" s="65"/>
      <c r="X25" s="74"/>
      <c r="Y25" s="42"/>
      <c r="Z25" s="41"/>
      <c r="AA25" s="41"/>
    </row>
    <row r="26" spans="1:30" s="82" customFormat="1" ht="17.25" customHeight="1" outlineLevel="1" x14ac:dyDescent="0.2">
      <c r="A26" s="35"/>
      <c r="B26" s="36" t="s">
        <v>50</v>
      </c>
      <c r="C26" s="37" t="s">
        <v>51</v>
      </c>
      <c r="D26" s="37" t="s">
        <v>26</v>
      </c>
      <c r="E26" s="38">
        <v>45068</v>
      </c>
      <c r="F26" s="38">
        <v>45069</v>
      </c>
      <c r="G26" s="39">
        <f>getColorCount(I26:AA26,$I$14)</f>
        <v>4</v>
      </c>
      <c r="H26" s="40">
        <v>0</v>
      </c>
      <c r="I26" s="42"/>
      <c r="J26" s="41"/>
      <c r="K26" s="57"/>
      <c r="L26" s="64"/>
      <c r="M26" s="42"/>
      <c r="N26" s="42"/>
      <c r="O26" s="41"/>
      <c r="P26" s="80" t="s">
        <v>68</v>
      </c>
      <c r="Q26" s="80" t="s">
        <v>68</v>
      </c>
      <c r="R26" s="68"/>
      <c r="S26" s="69"/>
      <c r="T26" s="80" t="s">
        <v>68</v>
      </c>
      <c r="U26" s="80" t="s">
        <v>68</v>
      </c>
      <c r="V26" s="41"/>
      <c r="W26" s="65"/>
      <c r="X26" s="74"/>
      <c r="Y26" s="41"/>
      <c r="Z26" s="41"/>
      <c r="AA26" s="41"/>
    </row>
    <row r="27" spans="1:30" s="55" customFormat="1" ht="17.25" customHeight="1" outlineLevel="1" x14ac:dyDescent="0.2">
      <c r="A27" s="35"/>
      <c r="B27" s="36" t="s">
        <v>88</v>
      </c>
      <c r="C27" s="37" t="s">
        <v>89</v>
      </c>
      <c r="D27" s="37" t="s">
        <v>26</v>
      </c>
      <c r="E27" s="38">
        <v>45071</v>
      </c>
      <c r="F27" s="38">
        <v>45072</v>
      </c>
      <c r="G27" s="39">
        <f>getColorCount(I27:AA27,$I$14)</f>
        <v>2</v>
      </c>
      <c r="H27" s="40">
        <v>0</v>
      </c>
      <c r="I27" s="42"/>
      <c r="J27" s="41"/>
      <c r="K27" s="57"/>
      <c r="L27" s="64"/>
      <c r="M27" s="42"/>
      <c r="N27" s="42"/>
      <c r="O27" s="41"/>
      <c r="P27" s="60"/>
      <c r="Q27" s="41"/>
      <c r="R27" s="68"/>
      <c r="S27" s="69"/>
      <c r="T27" s="41"/>
      <c r="U27" s="41"/>
      <c r="V27" s="78" t="s">
        <v>68</v>
      </c>
      <c r="W27" s="78" t="s">
        <v>68</v>
      </c>
      <c r="X27" s="74"/>
      <c r="Y27" s="41"/>
      <c r="Z27" s="41"/>
      <c r="AA27" s="41"/>
    </row>
    <row r="28" spans="1:30" ht="21" customHeight="1" x14ac:dyDescent="0.2">
      <c r="A28" s="19"/>
      <c r="B28" s="26">
        <v>3</v>
      </c>
      <c r="C28" s="27" t="s">
        <v>27</v>
      </c>
      <c r="D28" s="28"/>
      <c r="E28" s="29">
        <f>MIN(E29:E40)</f>
        <v>45054</v>
      </c>
      <c r="F28" s="29">
        <f>MAX(F29:F40)</f>
        <v>45072</v>
      </c>
      <c r="G28" s="44">
        <f>SUM(G29:G38)</f>
        <v>16</v>
      </c>
      <c r="H28" s="45"/>
      <c r="I28" s="31"/>
      <c r="J28" s="32"/>
      <c r="K28" s="33"/>
      <c r="L28" s="62"/>
      <c r="M28" s="59"/>
      <c r="N28" s="59"/>
      <c r="O28" s="63"/>
      <c r="P28" s="62"/>
      <c r="Q28" s="59"/>
      <c r="R28" s="59"/>
      <c r="S28" s="59"/>
      <c r="T28" s="62"/>
      <c r="U28" s="59"/>
      <c r="V28" s="59"/>
      <c r="W28" s="63"/>
      <c r="X28" s="62"/>
      <c r="Y28" s="59"/>
      <c r="Z28" s="34"/>
      <c r="AA28" s="34"/>
      <c r="AB28" s="55"/>
      <c r="AC28" s="55"/>
      <c r="AD28" s="55"/>
    </row>
    <row r="29" spans="1:30" ht="17.25" customHeight="1" outlineLevel="1" x14ac:dyDescent="0.2">
      <c r="A29" s="35"/>
      <c r="B29" s="36">
        <v>3.1</v>
      </c>
      <c r="C29" s="37" t="s">
        <v>42</v>
      </c>
      <c r="D29" s="37" t="s">
        <v>26</v>
      </c>
      <c r="E29" s="38">
        <v>45054</v>
      </c>
      <c r="F29" s="38">
        <v>45054</v>
      </c>
      <c r="G29" s="39">
        <f>getColorCount(I29:AA29,I20)</f>
        <v>3</v>
      </c>
      <c r="H29" s="40">
        <v>0</v>
      </c>
      <c r="I29" s="48"/>
      <c r="J29" s="48"/>
      <c r="K29" s="57"/>
      <c r="L29" s="80" t="s">
        <v>68</v>
      </c>
      <c r="M29" s="43"/>
      <c r="N29" s="43"/>
      <c r="O29" s="67"/>
      <c r="P29" s="64"/>
      <c r="Q29" s="43"/>
      <c r="R29" s="70"/>
      <c r="S29" s="73"/>
      <c r="T29" s="64"/>
      <c r="U29" s="46"/>
      <c r="V29" s="46"/>
      <c r="W29" s="67"/>
      <c r="X29" s="75"/>
      <c r="Y29" s="46"/>
      <c r="Z29" s="46"/>
      <c r="AA29" s="46"/>
      <c r="AB29" s="55"/>
      <c r="AC29" s="55"/>
      <c r="AD29" s="55"/>
    </row>
    <row r="30" spans="1:30" ht="17.25" customHeight="1" outlineLevel="1" x14ac:dyDescent="0.2">
      <c r="A30" s="35"/>
      <c r="B30" s="36" t="s">
        <v>44</v>
      </c>
      <c r="C30" s="37" t="s">
        <v>30</v>
      </c>
      <c r="D30" s="37" t="s">
        <v>26</v>
      </c>
      <c r="E30" s="38">
        <v>45054</v>
      </c>
      <c r="F30" s="38">
        <v>45054</v>
      </c>
      <c r="G30" s="39">
        <f>getColorCount(I30:AA30,$I$14)</f>
        <v>1</v>
      </c>
      <c r="H30" s="40">
        <v>0</v>
      </c>
      <c r="I30" s="42"/>
      <c r="J30" s="42"/>
      <c r="K30" s="58"/>
      <c r="L30" s="80" t="s">
        <v>68</v>
      </c>
      <c r="M30" s="41"/>
      <c r="N30" s="41"/>
      <c r="O30" s="41"/>
      <c r="P30" s="60"/>
      <c r="Q30" s="41"/>
      <c r="R30" s="68"/>
      <c r="S30" s="69"/>
      <c r="T30" s="60"/>
      <c r="U30" s="41"/>
      <c r="V30" s="41"/>
      <c r="W30" s="65"/>
      <c r="X30" s="74"/>
      <c r="Y30" s="41"/>
      <c r="Z30" s="41"/>
      <c r="AA30" s="41"/>
      <c r="AB30" s="55"/>
      <c r="AC30" s="55"/>
      <c r="AD30" s="55"/>
    </row>
    <row r="31" spans="1:30" ht="17.25" customHeight="1" outlineLevel="1" x14ac:dyDescent="0.2">
      <c r="A31" s="35"/>
      <c r="B31" s="36" t="s">
        <v>45</v>
      </c>
      <c r="C31" s="37" t="s">
        <v>43</v>
      </c>
      <c r="D31" s="37" t="s">
        <v>26</v>
      </c>
      <c r="E31" s="38">
        <v>45054</v>
      </c>
      <c r="F31" s="38">
        <v>45054</v>
      </c>
      <c r="G31" s="39">
        <f>getColorCount(I31:AA31,$I$14)</f>
        <v>1</v>
      </c>
      <c r="H31" s="40">
        <v>0</v>
      </c>
      <c r="I31" s="42"/>
      <c r="J31" s="42"/>
      <c r="L31" s="78" t="s">
        <v>68</v>
      </c>
      <c r="N31" s="41"/>
      <c r="O31" s="41"/>
      <c r="P31" s="60"/>
      <c r="Q31" s="41"/>
      <c r="R31" s="68"/>
      <c r="S31" s="69"/>
      <c r="T31" s="60"/>
      <c r="U31" s="41"/>
      <c r="V31" s="41"/>
      <c r="W31" s="65"/>
      <c r="X31" s="74"/>
      <c r="Y31" s="41"/>
      <c r="Z31" s="41"/>
      <c r="AA31" s="41"/>
      <c r="AB31" s="55"/>
      <c r="AC31" s="55"/>
      <c r="AD31" s="55"/>
    </row>
    <row r="32" spans="1:30" ht="17.25" customHeight="1" outlineLevel="1" x14ac:dyDescent="0.2">
      <c r="A32" s="35"/>
      <c r="B32" s="36" t="s">
        <v>46</v>
      </c>
      <c r="C32" s="37" t="s">
        <v>49</v>
      </c>
      <c r="D32" s="37" t="s">
        <v>26</v>
      </c>
      <c r="E32" s="38">
        <v>45055</v>
      </c>
      <c r="F32" s="38">
        <v>45055</v>
      </c>
      <c r="G32" s="39">
        <f>getColorCount(I32:AA32,$I$14)</f>
        <v>1</v>
      </c>
      <c r="H32" s="40">
        <v>0</v>
      </c>
      <c r="I32" s="42"/>
      <c r="J32" s="42"/>
      <c r="K32" s="56"/>
      <c r="L32" s="64"/>
      <c r="M32" s="78" t="s">
        <v>70</v>
      </c>
      <c r="N32" s="41"/>
      <c r="O32" s="41"/>
      <c r="P32" s="60"/>
      <c r="Q32" s="41"/>
      <c r="R32" s="68"/>
      <c r="S32" s="69"/>
      <c r="T32" s="60"/>
      <c r="U32" s="41"/>
      <c r="V32" s="41"/>
      <c r="W32" s="65"/>
      <c r="X32" s="74"/>
      <c r="Y32" s="41"/>
      <c r="Z32" s="41"/>
      <c r="AA32" s="41"/>
      <c r="AB32" s="55"/>
      <c r="AC32" s="55"/>
      <c r="AD32" s="55"/>
    </row>
    <row r="33" spans="1:30" s="77" customFormat="1" ht="17.25" customHeight="1" outlineLevel="1" x14ac:dyDescent="0.2">
      <c r="A33" s="35"/>
      <c r="B33" s="36" t="s">
        <v>47</v>
      </c>
      <c r="C33" s="37" t="s">
        <v>84</v>
      </c>
      <c r="D33" s="37" t="s">
        <v>26</v>
      </c>
      <c r="E33" s="38">
        <v>45057</v>
      </c>
      <c r="F33" s="38">
        <v>45057</v>
      </c>
      <c r="G33" s="39">
        <f t="shared" ref="G33:G34" si="1">getColorCount(I33:AA33,$I$14)</f>
        <v>1</v>
      </c>
      <c r="H33" s="40">
        <v>0</v>
      </c>
      <c r="I33" s="42"/>
      <c r="J33" s="42"/>
      <c r="K33" s="56"/>
      <c r="L33" s="60"/>
      <c r="M33" s="47"/>
      <c r="N33" s="78" t="s">
        <v>70</v>
      </c>
      <c r="O33" s="41"/>
      <c r="P33" s="60"/>
      <c r="Q33" s="41"/>
      <c r="R33" s="68"/>
      <c r="S33" s="69"/>
      <c r="T33" s="60"/>
      <c r="U33" s="41"/>
      <c r="V33" s="41"/>
      <c r="W33" s="65"/>
      <c r="X33" s="74"/>
      <c r="Y33" s="41"/>
      <c r="Z33" s="41"/>
      <c r="AA33" s="41"/>
    </row>
    <row r="34" spans="1:30" s="77" customFormat="1" ht="17.25" customHeight="1" outlineLevel="1" x14ac:dyDescent="0.2">
      <c r="A34" s="35"/>
      <c r="B34" s="36" t="s">
        <v>48</v>
      </c>
      <c r="C34" s="37" t="s">
        <v>85</v>
      </c>
      <c r="D34" s="37" t="s">
        <v>26</v>
      </c>
      <c r="E34" s="38">
        <v>45057</v>
      </c>
      <c r="F34" s="38">
        <v>45058</v>
      </c>
      <c r="G34" s="39">
        <f t="shared" si="1"/>
        <v>2</v>
      </c>
      <c r="H34" s="40">
        <v>0</v>
      </c>
      <c r="I34" s="42"/>
      <c r="J34" s="42"/>
      <c r="K34" s="56"/>
      <c r="L34" s="60"/>
      <c r="M34" s="47"/>
      <c r="N34" s="78" t="s">
        <v>69</v>
      </c>
      <c r="O34" s="78" t="s">
        <v>68</v>
      </c>
      <c r="P34" s="60"/>
      <c r="Q34" s="41"/>
      <c r="R34" s="68"/>
      <c r="S34" s="69"/>
      <c r="T34" s="60"/>
      <c r="U34" s="41"/>
      <c r="V34" s="41"/>
      <c r="W34" s="65"/>
      <c r="X34" s="74"/>
      <c r="Y34" s="41"/>
      <c r="Z34" s="41"/>
      <c r="AA34" s="41"/>
    </row>
    <row r="35" spans="1:30" ht="17.25" customHeight="1" outlineLevel="1" x14ac:dyDescent="0.2">
      <c r="A35" s="35"/>
      <c r="B35" s="36" t="s">
        <v>55</v>
      </c>
      <c r="C35" s="37" t="s">
        <v>52</v>
      </c>
      <c r="D35" s="37" t="s">
        <v>26</v>
      </c>
      <c r="E35" s="38">
        <v>45058</v>
      </c>
      <c r="F35" s="38">
        <v>45061</v>
      </c>
      <c r="G35" s="39">
        <f>getColorCount(I35:AA35,$I$14)</f>
        <v>2</v>
      </c>
      <c r="H35" s="40">
        <v>0</v>
      </c>
      <c r="I35" s="42"/>
      <c r="J35" s="42"/>
      <c r="K35" s="56"/>
      <c r="L35" s="60"/>
      <c r="M35" s="41"/>
      <c r="O35" s="78" t="s">
        <v>68</v>
      </c>
      <c r="P35" s="78" t="s">
        <v>69</v>
      </c>
      <c r="Q35" s="41"/>
      <c r="R35" s="68"/>
      <c r="S35" s="69"/>
      <c r="T35" s="60"/>
      <c r="U35" s="41"/>
      <c r="V35" s="41"/>
      <c r="W35" s="65"/>
      <c r="X35" s="74"/>
      <c r="Y35" s="41"/>
      <c r="Z35" s="41"/>
      <c r="AA35" s="41"/>
      <c r="AB35" s="55"/>
      <c r="AC35" s="55"/>
      <c r="AD35" s="55"/>
    </row>
    <row r="36" spans="1:30" ht="17.25" customHeight="1" outlineLevel="1" x14ac:dyDescent="0.2">
      <c r="A36" s="35"/>
      <c r="B36" s="36" t="s">
        <v>72</v>
      </c>
      <c r="C36" s="37" t="s">
        <v>53</v>
      </c>
      <c r="D36" s="37" t="s">
        <v>26</v>
      </c>
      <c r="E36" s="38">
        <v>45061</v>
      </c>
      <c r="F36" s="38">
        <v>45061</v>
      </c>
      <c r="G36" s="39">
        <f>getColorCount(I36:AA36,I14)</f>
        <v>1</v>
      </c>
      <c r="H36" s="40">
        <v>0</v>
      </c>
      <c r="I36" s="48"/>
      <c r="J36" s="49"/>
      <c r="K36" s="57"/>
      <c r="L36" s="64"/>
      <c r="M36" s="51"/>
      <c r="N36" s="41"/>
      <c r="O36" s="41"/>
      <c r="P36" s="78" t="s">
        <v>70</v>
      </c>
      <c r="Q36" s="41"/>
      <c r="R36" s="72"/>
      <c r="S36" s="73"/>
      <c r="T36" s="64"/>
      <c r="U36" s="46"/>
      <c r="V36" s="46"/>
      <c r="W36" s="67"/>
      <c r="X36" s="75"/>
      <c r="Y36" s="46"/>
      <c r="Z36" s="46"/>
      <c r="AA36" s="46"/>
      <c r="AB36" s="55"/>
      <c r="AC36" s="55"/>
      <c r="AD36" s="55"/>
    </row>
    <row r="37" spans="1:30" ht="17.25" customHeight="1" outlineLevel="1" x14ac:dyDescent="0.2">
      <c r="A37" s="35"/>
      <c r="B37" s="36" t="s">
        <v>73</v>
      </c>
      <c r="C37" s="37" t="s">
        <v>54</v>
      </c>
      <c r="D37" s="37" t="s">
        <v>26</v>
      </c>
      <c r="E37" s="38">
        <v>45061</v>
      </c>
      <c r="F37" s="38">
        <v>45062</v>
      </c>
      <c r="G37" s="39">
        <f>getColorCount(I37:AA37,$I$14)</f>
        <v>2</v>
      </c>
      <c r="H37" s="40">
        <v>0</v>
      </c>
      <c r="I37" s="42"/>
      <c r="J37" s="50"/>
      <c r="K37" s="58"/>
      <c r="L37" s="60"/>
      <c r="M37" s="47"/>
      <c r="N37" s="47"/>
      <c r="O37" s="41"/>
      <c r="P37" s="78" t="s">
        <v>68</v>
      </c>
      <c r="Q37" s="78" t="s">
        <v>69</v>
      </c>
      <c r="R37" s="68"/>
      <c r="S37" s="69"/>
      <c r="T37" s="60"/>
      <c r="U37" s="41"/>
      <c r="V37" s="41"/>
      <c r="W37" s="65"/>
      <c r="X37" s="74"/>
      <c r="Y37" s="41"/>
      <c r="Z37" s="41"/>
      <c r="AA37" s="41"/>
      <c r="AB37" s="55"/>
      <c r="AC37" s="55"/>
      <c r="AD37" s="55"/>
    </row>
    <row r="38" spans="1:30" ht="17.25" customHeight="1" outlineLevel="1" x14ac:dyDescent="0.2">
      <c r="A38" s="35"/>
      <c r="B38" s="36" t="s">
        <v>74</v>
      </c>
      <c r="C38" s="37" t="s">
        <v>66</v>
      </c>
      <c r="D38" s="37" t="s">
        <v>26</v>
      </c>
      <c r="E38" s="38">
        <v>45062</v>
      </c>
      <c r="F38" s="38">
        <v>45068</v>
      </c>
      <c r="G38" s="39">
        <f>getColorCount(I38:AA38,$I$14)</f>
        <v>2</v>
      </c>
      <c r="H38" s="40">
        <v>0</v>
      </c>
      <c r="I38" s="42"/>
      <c r="J38" s="50"/>
      <c r="K38" s="56"/>
      <c r="L38" s="60"/>
      <c r="M38" s="47"/>
      <c r="N38" s="41"/>
      <c r="O38" s="65"/>
      <c r="P38" s="41"/>
      <c r="Q38" s="78" t="s">
        <v>68</v>
      </c>
      <c r="R38" s="68"/>
      <c r="S38" s="69"/>
      <c r="T38" s="78" t="s">
        <v>69</v>
      </c>
      <c r="U38" s="41"/>
      <c r="V38" s="41"/>
      <c r="W38" s="65"/>
      <c r="X38" s="74"/>
      <c r="Y38" s="41"/>
      <c r="Z38" s="41"/>
      <c r="AA38" s="41"/>
      <c r="AB38" s="55"/>
      <c r="AC38" s="55"/>
      <c r="AD38" s="55"/>
    </row>
    <row r="39" spans="1:30" ht="17.25" customHeight="1" outlineLevel="1" x14ac:dyDescent="0.2">
      <c r="A39" s="35"/>
      <c r="B39" s="36" t="s">
        <v>79</v>
      </c>
      <c r="C39" s="37" t="s">
        <v>65</v>
      </c>
      <c r="D39" s="37" t="s">
        <v>26</v>
      </c>
      <c r="E39" s="38">
        <v>45068</v>
      </c>
      <c r="F39" s="38">
        <v>45069</v>
      </c>
      <c r="G39" s="39">
        <f>getColorCount(I39:AA39,$I$14)</f>
        <v>2</v>
      </c>
      <c r="H39" s="40">
        <v>0</v>
      </c>
      <c r="I39" s="42"/>
      <c r="J39" s="50"/>
      <c r="K39" s="56"/>
      <c r="L39" s="60"/>
      <c r="M39" s="47"/>
      <c r="N39" s="41"/>
      <c r="O39" s="65"/>
      <c r="P39" s="60"/>
      <c r="R39" s="68"/>
      <c r="S39" s="69"/>
      <c r="T39" s="80" t="s">
        <v>68</v>
      </c>
      <c r="U39" s="78" t="s">
        <v>70</v>
      </c>
      <c r="V39" s="41"/>
      <c r="W39" s="41"/>
      <c r="X39" s="74"/>
      <c r="Y39" s="41"/>
      <c r="Z39" s="41"/>
      <c r="AA39" s="41"/>
      <c r="AB39" s="55"/>
      <c r="AC39" s="55"/>
      <c r="AD39" s="55"/>
    </row>
    <row r="40" spans="1:30" s="77" customFormat="1" ht="17.25" customHeight="1" outlineLevel="1" x14ac:dyDescent="0.2">
      <c r="A40" s="35"/>
      <c r="B40" s="36" t="s">
        <v>86</v>
      </c>
      <c r="C40" s="37" t="s">
        <v>64</v>
      </c>
      <c r="D40" s="37" t="s">
        <v>26</v>
      </c>
      <c r="E40" s="38">
        <v>45071</v>
      </c>
      <c r="F40" s="38">
        <v>45072</v>
      </c>
      <c r="G40" s="39">
        <f>getColorCount(I40:AA40,$I$14)</f>
        <v>2</v>
      </c>
      <c r="H40" s="40">
        <v>0</v>
      </c>
      <c r="I40" s="42"/>
      <c r="J40" s="50"/>
      <c r="K40" s="56"/>
      <c r="L40" s="60"/>
      <c r="N40" s="41"/>
      <c r="O40" s="65"/>
      <c r="P40" s="60"/>
      <c r="Q40" s="41"/>
      <c r="R40" s="68"/>
      <c r="S40" s="69"/>
      <c r="T40" s="64"/>
      <c r="V40" s="78" t="s">
        <v>69</v>
      </c>
      <c r="W40" s="78" t="s">
        <v>69</v>
      </c>
      <c r="X40" s="74"/>
      <c r="Y40" s="41"/>
      <c r="Z40" s="41"/>
      <c r="AA40" s="41"/>
    </row>
    <row r="41" spans="1:30" ht="17.25" customHeight="1" outlineLevel="1" x14ac:dyDescent="0.2">
      <c r="A41" s="35"/>
      <c r="B41" s="36" t="s">
        <v>87</v>
      </c>
      <c r="C41" s="76" t="s">
        <v>90</v>
      </c>
      <c r="D41" s="37" t="s">
        <v>26</v>
      </c>
      <c r="E41" s="38">
        <v>45058</v>
      </c>
      <c r="F41" s="38">
        <v>45072</v>
      </c>
      <c r="G41" s="39">
        <f>getColorCount(I41:AA41,$I$14)</f>
        <v>6</v>
      </c>
      <c r="H41" s="40">
        <v>0</v>
      </c>
      <c r="I41" s="42"/>
      <c r="J41" s="47"/>
      <c r="K41" s="47"/>
      <c r="L41" s="60"/>
      <c r="M41" s="41"/>
      <c r="N41" s="47"/>
      <c r="O41" s="78" t="s">
        <v>68</v>
      </c>
      <c r="P41" s="60"/>
      <c r="Q41" s="78" t="s">
        <v>68</v>
      </c>
      <c r="R41" s="68"/>
      <c r="S41" s="69"/>
      <c r="T41" s="78" t="s">
        <v>68</v>
      </c>
      <c r="U41" s="78" t="s">
        <v>68</v>
      </c>
      <c r="V41" s="78" t="s">
        <v>68</v>
      </c>
      <c r="W41" s="78" t="s">
        <v>68</v>
      </c>
      <c r="X41" s="74"/>
      <c r="Y41" s="41"/>
      <c r="Z41" s="41"/>
      <c r="AA41" s="41"/>
      <c r="AB41" s="55"/>
      <c r="AC41" s="55"/>
      <c r="AD41" s="55"/>
    </row>
    <row r="42" spans="1:30" s="55" customFormat="1" ht="21" customHeight="1" x14ac:dyDescent="0.2">
      <c r="A42" s="19"/>
      <c r="B42" s="26" t="s">
        <v>56</v>
      </c>
      <c r="C42" s="27" t="s">
        <v>57</v>
      </c>
      <c r="D42" s="28"/>
      <c r="E42" s="29">
        <f>MIN(E43:E46)</f>
        <v>45050</v>
      </c>
      <c r="F42" s="29">
        <f>MAX(F43:F46)</f>
        <v>45050</v>
      </c>
      <c r="G42" s="44">
        <f>SUM(G43:G46)</f>
        <v>4</v>
      </c>
      <c r="H42" s="34"/>
      <c r="I42" s="34"/>
      <c r="J42" s="32"/>
      <c r="K42" s="33"/>
      <c r="L42" s="62"/>
      <c r="M42" s="59"/>
      <c r="N42" s="59"/>
      <c r="O42" s="63"/>
      <c r="P42" s="62"/>
      <c r="Q42" s="59"/>
      <c r="R42" s="59"/>
      <c r="S42" s="59"/>
      <c r="T42" s="62"/>
      <c r="U42" s="59"/>
      <c r="V42" s="59"/>
      <c r="W42" s="63"/>
      <c r="X42" s="62"/>
      <c r="Y42" s="59"/>
      <c r="Z42" s="34"/>
      <c r="AA42" s="34"/>
    </row>
    <row r="43" spans="1:30" ht="15" x14ac:dyDescent="0.2">
      <c r="A43" s="19"/>
      <c r="B43" s="36" t="s">
        <v>75</v>
      </c>
      <c r="C43" s="37" t="s">
        <v>58</v>
      </c>
      <c r="D43" s="37" t="s">
        <v>26</v>
      </c>
      <c r="E43" s="38">
        <v>45050</v>
      </c>
      <c r="F43" s="38">
        <v>45050</v>
      </c>
      <c r="G43" s="39">
        <f>getColorCount(I43:AA43,$I$14)</f>
        <v>1</v>
      </c>
      <c r="H43" s="40">
        <v>0</v>
      </c>
      <c r="I43" s="42"/>
      <c r="J43" s="78" t="s">
        <v>71</v>
      </c>
      <c r="K43" s="56"/>
      <c r="L43" s="60"/>
      <c r="M43" s="47"/>
      <c r="N43" s="41"/>
      <c r="O43" s="65"/>
      <c r="P43" s="60"/>
      <c r="Q43" s="41"/>
      <c r="R43" s="68"/>
      <c r="S43" s="69"/>
      <c r="T43" s="60"/>
      <c r="U43" s="41"/>
      <c r="V43" s="41"/>
      <c r="W43" s="65"/>
      <c r="X43" s="74"/>
      <c r="Y43" s="41"/>
      <c r="Z43" s="41"/>
      <c r="AA43" s="41"/>
      <c r="AB43" s="19"/>
      <c r="AC43" s="19"/>
      <c r="AD43" s="19"/>
    </row>
    <row r="44" spans="1:30" ht="15" x14ac:dyDescent="0.2">
      <c r="A44" s="19"/>
      <c r="B44" s="36" t="s">
        <v>76</v>
      </c>
      <c r="C44" s="37" t="s">
        <v>59</v>
      </c>
      <c r="D44" s="37" t="s">
        <v>26</v>
      </c>
      <c r="E44" s="38">
        <v>45050</v>
      </c>
      <c r="F44" s="38">
        <v>45050</v>
      </c>
      <c r="G44" s="39">
        <f>getColorCount(I44:AA44,$I$14)</f>
        <v>1</v>
      </c>
      <c r="H44" s="40">
        <v>0</v>
      </c>
      <c r="I44" s="42"/>
      <c r="J44" s="78" t="s">
        <v>71</v>
      </c>
      <c r="K44" s="56"/>
      <c r="L44" s="60"/>
      <c r="M44" s="47"/>
      <c r="N44" s="41"/>
      <c r="O44" s="65"/>
      <c r="P44" s="60"/>
      <c r="Q44" s="41"/>
      <c r="R44" s="68"/>
      <c r="S44" s="69"/>
      <c r="T44" s="60"/>
      <c r="U44" s="41"/>
      <c r="V44" s="41"/>
      <c r="W44" s="65"/>
      <c r="X44" s="74"/>
      <c r="Y44" s="41"/>
      <c r="Z44" s="41"/>
      <c r="AA44" s="41"/>
      <c r="AB44" s="19"/>
      <c r="AC44" s="19"/>
      <c r="AD44" s="19"/>
    </row>
    <row r="45" spans="1:30" s="55" customFormat="1" ht="15" x14ac:dyDescent="0.2">
      <c r="A45" s="19"/>
      <c r="B45" s="36" t="s">
        <v>77</v>
      </c>
      <c r="C45" s="37" t="s">
        <v>60</v>
      </c>
      <c r="D45" s="37" t="s">
        <v>26</v>
      </c>
      <c r="E45" s="38">
        <v>45051</v>
      </c>
      <c r="F45" s="38">
        <v>45050</v>
      </c>
      <c r="G45" s="39">
        <f>getColorCount(I45:AA45,$I$14)</f>
        <v>1</v>
      </c>
      <c r="H45" s="40">
        <v>0</v>
      </c>
      <c r="I45" s="42"/>
      <c r="J45" s="42"/>
      <c r="K45" s="78" t="s">
        <v>68</v>
      </c>
      <c r="L45" s="60"/>
      <c r="M45" s="47"/>
      <c r="N45" s="41"/>
      <c r="O45" s="65"/>
      <c r="P45" s="60"/>
      <c r="Q45" s="41"/>
      <c r="R45" s="68"/>
      <c r="S45" s="69"/>
      <c r="T45" s="60"/>
      <c r="U45" s="41"/>
      <c r="V45" s="41"/>
      <c r="W45" s="65"/>
      <c r="X45" s="74"/>
      <c r="Y45" s="41"/>
      <c r="Z45" s="41"/>
      <c r="AA45" s="41"/>
      <c r="AB45" s="19"/>
      <c r="AC45" s="19"/>
      <c r="AD45" s="19"/>
    </row>
    <row r="46" spans="1:30" s="55" customFormat="1" ht="15" x14ac:dyDescent="0.2">
      <c r="A46" s="19"/>
      <c r="B46" s="36" t="s">
        <v>78</v>
      </c>
      <c r="C46" s="37" t="s">
        <v>61</v>
      </c>
      <c r="D46" s="37" t="s">
        <v>26</v>
      </c>
      <c r="E46" s="38">
        <v>45051</v>
      </c>
      <c r="F46" s="38">
        <v>45050</v>
      </c>
      <c r="G46" s="39">
        <f>getColorCount(I46:AA46,$I$14)</f>
        <v>1</v>
      </c>
      <c r="H46" s="40">
        <v>0</v>
      </c>
      <c r="I46" s="42"/>
      <c r="J46" s="42"/>
      <c r="K46" s="78" t="s">
        <v>68</v>
      </c>
      <c r="L46" s="60"/>
      <c r="M46" s="47"/>
      <c r="N46" s="41"/>
      <c r="O46" s="65"/>
      <c r="P46" s="60"/>
      <c r="Q46" s="41"/>
      <c r="R46" s="68"/>
      <c r="S46" s="69"/>
      <c r="T46" s="60"/>
      <c r="U46" s="41"/>
      <c r="V46" s="41"/>
      <c r="W46" s="65"/>
      <c r="X46" s="74"/>
      <c r="Y46" s="41"/>
      <c r="Z46" s="41"/>
      <c r="AA46" s="41"/>
      <c r="AB46" s="19"/>
      <c r="AC46" s="19"/>
      <c r="AD46" s="19"/>
    </row>
  </sheetData>
  <mergeCells count="31">
    <mergeCell ref="B10:B12"/>
    <mergeCell ref="C10:C12"/>
    <mergeCell ref="D10:D12"/>
    <mergeCell ref="I11:K11"/>
    <mergeCell ref="L11:O11"/>
    <mergeCell ref="X11:AA11"/>
    <mergeCell ref="T11:W11"/>
    <mergeCell ref="I10:AA10"/>
    <mergeCell ref="T5:Y5"/>
    <mergeCell ref="E10:E12"/>
    <mergeCell ref="F10:F12"/>
    <mergeCell ref="G10:G12"/>
    <mergeCell ref="H10:H12"/>
    <mergeCell ref="P11:S11"/>
    <mergeCell ref="D6:G6"/>
    <mergeCell ref="I6:N6"/>
    <mergeCell ref="T6:Y6"/>
    <mergeCell ref="D5:G5"/>
    <mergeCell ref="I5:N5"/>
    <mergeCell ref="D7:G7"/>
    <mergeCell ref="I7:N7"/>
    <mergeCell ref="T7:Y7"/>
    <mergeCell ref="B2:H2"/>
    <mergeCell ref="I2:M2"/>
    <mergeCell ref="N2:Y2"/>
    <mergeCell ref="B4:C4"/>
    <mergeCell ref="D4:G4"/>
    <mergeCell ref="T4:Y4"/>
    <mergeCell ref="B5:C5"/>
    <mergeCell ref="B6:C6"/>
    <mergeCell ref="B7:C7"/>
  </mergeCells>
  <phoneticPr fontId="27" type="noConversion"/>
  <conditionalFormatting sqref="H20:H27 H14:H18 H29:H41 H43:H46">
    <cfRule type="colorScale" priority="33">
      <colorScale>
        <cfvo type="percent" val="0"/>
        <cfvo type="percent" val="100"/>
        <color rgb="FFFFFFFF"/>
        <color rgb="FF57BB8A"/>
      </colorScale>
    </cfRule>
  </conditionalFormatting>
  <conditionalFormatting sqref="H20:H27 H14:H18 H29:H41 H43:H46">
    <cfRule type="colorScale" priority="38">
      <colorScale>
        <cfvo type="percent" val="0"/>
        <cfvo type="percent" val="100"/>
        <color theme="0"/>
        <color rgb="FF00B050"/>
      </colorScale>
    </cfRule>
  </conditionalFormatting>
  <printOptions horizontalCentered="1" gridLines="1"/>
  <pageMargins left="0.70866141732283472" right="0.70866141732283472" top="0.74803149606299213" bottom="0.74803149606299213" header="0" footer="0"/>
  <pageSetup paperSize="9" scale="58" fitToHeight="0" pageOrder="overThenDown" orientation="landscape" cellComments="atEnd" r:id="rId1"/>
  <ignoredErrors>
    <ignoredError sqref="G18 G35 G43:G46 G14 G28:G32 G20:G21 G24:G25" formulaRange="1"/>
    <ignoredError sqref="B28:B29" twoDigitTextYear="1"/>
    <ignoredError sqref="B24 B30:B32 B2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Planification initiale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PERRET Jonatan</dc:creator>
  <cp:lastModifiedBy>STOJILOVIC Ivan</cp:lastModifiedBy>
  <cp:lastPrinted>2023-06-02T13:38:31Z</cp:lastPrinted>
  <dcterms:created xsi:type="dcterms:W3CDTF">2023-05-01T11:56:39Z</dcterms:created>
  <dcterms:modified xsi:type="dcterms:W3CDTF">2023-06-02T13:38:35Z</dcterms:modified>
</cp:coreProperties>
</file>